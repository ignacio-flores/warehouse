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-p\Dropbox\gcwealth\documentation\warehouse_documentation\docs\"/>
    </mc:Choice>
  </mc:AlternateContent>
  <xr:revisionPtr revIDLastSave="0" documentId="13_ncr:1_{02274936-A327-4ABC-B4F7-FAE6364AF08A}" xr6:coauthVersionLast="47" xr6:coauthVersionMax="47" xr10:uidLastSave="{00000000-0000-0000-0000-000000000000}"/>
  <bookViews>
    <workbookView xWindow="4770" yWindow="-16320" windowWidth="29040" windowHeight="15720" activeTab="1" xr2:uid="{2FE2F1D4-B264-E24E-90EC-428003EF03AA}"/>
  </bookViews>
  <sheets>
    <sheet name="calculation" sheetId="1" r:id="rId1"/>
    <sheet name="table" sheetId="2" r:id="rId2"/>
    <sheet name="table_" sheetId="3" r:id="rId3"/>
    <sheet name="table_vertic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F8" i="3"/>
  <c r="G8" i="2"/>
  <c r="E18" i="1"/>
  <c r="D3" i="1"/>
  <c r="E17" i="1" s="1"/>
  <c r="E16" i="1"/>
  <c r="G2" i="1"/>
  <c r="E22" i="1" s="1"/>
  <c r="D7" i="1"/>
  <c r="E21" i="1" s="1"/>
  <c r="D6" i="1"/>
  <c r="E20" i="1" s="1"/>
  <c r="D5" i="1"/>
  <c r="E19" i="1" s="1"/>
  <c r="D4" i="1"/>
  <c r="D2" i="1"/>
  <c r="D10" i="1" s="1"/>
</calcChain>
</file>

<file path=xl/sharedStrings.xml><?xml version="1.0" encoding="utf-8"?>
<sst xmlns="http://schemas.openxmlformats.org/spreadsheetml/2006/main" count="98" uniqueCount="32">
  <si>
    <t xml:space="preserve">Assets </t>
  </si>
  <si>
    <t>Liabilities and net worth</t>
  </si>
  <si>
    <t>nnhass</t>
  </si>
  <si>
    <t>Financial Assets &amp; Fixed Capital of Personal Business</t>
  </si>
  <si>
    <t>nfahou</t>
  </si>
  <si>
    <t>Housing &amp; Land</t>
  </si>
  <si>
    <t>nfabus</t>
  </si>
  <si>
    <t>Fixed Capital of Personal Businesses</t>
  </si>
  <si>
    <t>facdbl</t>
  </si>
  <si>
    <t>Cash, Deposits, Bonds &amp; Loans</t>
  </si>
  <si>
    <t>faeqfd</t>
  </si>
  <si>
    <t>Stocks, Business Equities &amp; Fund Shares</t>
  </si>
  <si>
    <t>falipe</t>
  </si>
  <si>
    <t>Pensions &amp; Life Insurance</t>
  </si>
  <si>
    <t>fliabi</t>
  </si>
  <si>
    <t>Debt</t>
  </si>
  <si>
    <t>netwea</t>
  </si>
  <si>
    <t>Net Wealth</t>
  </si>
  <si>
    <t>tot assets</t>
  </si>
  <si>
    <t>totassets</t>
  </si>
  <si>
    <t>Assets</t>
  </si>
  <si>
    <t>Liabilities and Net Wealth</t>
  </si>
  <si>
    <t>Concept</t>
  </si>
  <si>
    <t>Symbol</t>
  </si>
  <si>
    <t>Value</t>
  </si>
  <si>
    <t>Financial Assets &amp; Fixed Capital of Personal Businesses</t>
  </si>
  <si>
    <t>Other Wealth</t>
  </si>
  <si>
    <t>Offshore Financial Wealth</t>
  </si>
  <si>
    <t>offsho</t>
  </si>
  <si>
    <t>Consumer Durable Goods</t>
  </si>
  <si>
    <t>nfadur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</si>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</sst>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EB57-E846-FE45-8CED-910FC658ED91}">
  <dimension ref="A1:G22"/>
  <sheetViews>
    <sheetView zoomScale="112" workbookViewId="0">
      <selection activeCell="E16" sqref="E16"/>
    </sheetView>
  </sheetViews>
  <sheetFormatPr defaultColWidth="11" defaultRowHeight="15.75" x14ac:dyDescent="0.5"/>
  <cols>
    <col min="2" max="2" width="45.5" bestFit="1" customWidth="1"/>
    <col min="3" max="3" width="34.5" bestFit="1" customWidth="1"/>
  </cols>
  <sheetData>
    <row r="1" spans="1:7" x14ac:dyDescent="0.5">
      <c r="A1" t="s">
        <v>0</v>
      </c>
      <c r="E1" t="s">
        <v>1</v>
      </c>
    </row>
    <row r="2" spans="1:7" x14ac:dyDescent="0.5">
      <c r="A2" t="s">
        <v>4</v>
      </c>
      <c r="B2" t="s">
        <v>5</v>
      </c>
      <c r="D2">
        <f>31525.5/B16</f>
        <v>0.30203493106718915</v>
      </c>
      <c r="F2" t="s">
        <v>15</v>
      </c>
      <c r="G2">
        <f>14502.5/B16</f>
        <v>0.13894344539505829</v>
      </c>
    </row>
    <row r="3" spans="1:7" x14ac:dyDescent="0.5">
      <c r="A3" t="s">
        <v>2</v>
      </c>
      <c r="B3" t="s">
        <v>3</v>
      </c>
      <c r="D3">
        <f>SUM(D4:D7)</f>
        <v>0.7035822068080132</v>
      </c>
    </row>
    <row r="4" spans="1:7" x14ac:dyDescent="0.5">
      <c r="A4" t="s">
        <v>6</v>
      </c>
      <c r="C4" t="s">
        <v>7</v>
      </c>
      <c r="D4">
        <f>(383.8+157.5)/B16</f>
        <v>5.1860084118148632E-3</v>
      </c>
    </row>
    <row r="5" spans="1:7" x14ac:dyDescent="0.5">
      <c r="A5" t="s">
        <v>8</v>
      </c>
      <c r="C5" t="s">
        <v>9</v>
      </c>
      <c r="D5">
        <f>(9261+3868.2+1153.3)/B16</f>
        <v>0.13683570135183037</v>
      </c>
    </row>
    <row r="6" spans="1:7" x14ac:dyDescent="0.5">
      <c r="A6" t="s">
        <v>10</v>
      </c>
      <c r="C6" t="s">
        <v>11</v>
      </c>
      <c r="D6">
        <f>32348.9/B16</f>
        <v>0.3099236421817067</v>
      </c>
    </row>
    <row r="7" spans="1:7" x14ac:dyDescent="0.5">
      <c r="A7" t="s">
        <v>12</v>
      </c>
      <c r="C7" t="s">
        <v>13</v>
      </c>
      <c r="D7">
        <f>(26024.1+241)/B16</f>
        <v>0.2516368548626613</v>
      </c>
    </row>
    <row r="8" spans="1:7" x14ac:dyDescent="0.5">
      <c r="E8" t="s">
        <v>16</v>
      </c>
      <c r="F8" t="s">
        <v>17</v>
      </c>
    </row>
    <row r="10" spans="1:7" x14ac:dyDescent="0.5">
      <c r="D10">
        <f>SUM(D2:D7)</f>
        <v>1.7091993446832157</v>
      </c>
    </row>
    <row r="15" spans="1:7" x14ac:dyDescent="0.5">
      <c r="B15" t="s">
        <v>18</v>
      </c>
      <c r="C15" t="s">
        <v>19</v>
      </c>
    </row>
    <row r="16" spans="1:7" x14ac:dyDescent="0.5">
      <c r="B16">
        <v>104377</v>
      </c>
      <c r="C16">
        <v>5000</v>
      </c>
      <c r="D16" t="s">
        <v>4</v>
      </c>
      <c r="E16" s="1">
        <f>C16*D2</f>
        <v>1510.1746553359458</v>
      </c>
    </row>
    <row r="17" spans="4:5" x14ac:dyDescent="0.5">
      <c r="D17" t="s">
        <v>2</v>
      </c>
      <c r="E17" s="1">
        <f>C16*D3</f>
        <v>3517.9110340400662</v>
      </c>
    </row>
    <row r="18" spans="4:5" x14ac:dyDescent="0.5">
      <c r="D18" t="s">
        <v>6</v>
      </c>
      <c r="E18" s="1">
        <f>C16*D4</f>
        <v>25.930042059074317</v>
      </c>
    </row>
    <row r="19" spans="4:5" x14ac:dyDescent="0.5">
      <c r="D19" t="s">
        <v>8</v>
      </c>
      <c r="E19" s="1">
        <f>C16*D5</f>
        <v>684.1785067591519</v>
      </c>
    </row>
    <row r="20" spans="4:5" x14ac:dyDescent="0.5">
      <c r="D20" t="s">
        <v>10</v>
      </c>
      <c r="E20" s="1">
        <f>C16*D6</f>
        <v>1549.6182109085335</v>
      </c>
    </row>
    <row r="21" spans="4:5" x14ac:dyDescent="0.5">
      <c r="D21" t="s">
        <v>12</v>
      </c>
      <c r="E21" s="1">
        <f>C16*D7</f>
        <v>1258.1842743133066</v>
      </c>
    </row>
    <row r="22" spans="4:5" x14ac:dyDescent="0.5">
      <c r="D22" t="s">
        <v>14</v>
      </c>
      <c r="E22">
        <f>C16*G2</f>
        <v>694.7172269752914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FA95-A546-5E43-97E2-B2F2F7BA53F7}">
  <dimension ref="A1:G11"/>
  <sheetViews>
    <sheetView tabSelected="1" topLeftCell="B1" zoomScale="125" workbookViewId="0">
      <selection activeCell="B10" sqref="B10"/>
    </sheetView>
  </sheetViews>
  <sheetFormatPr defaultColWidth="11" defaultRowHeight="15.75" x14ac:dyDescent="0.5"/>
  <cols>
    <col min="2" max="2" width="45.5" bestFit="1" customWidth="1"/>
    <col min="3" max="3" width="34.5" bestFit="1" customWidth="1"/>
    <col min="4" max="4" width="12.1875" bestFit="1" customWidth="1"/>
    <col min="5" max="5" width="21.1875" bestFit="1" customWidth="1"/>
    <col min="6" max="6" width="12.1875" bestFit="1" customWidth="1"/>
  </cols>
  <sheetData>
    <row r="1" spans="1:7" x14ac:dyDescent="0.5">
      <c r="A1" s="2" t="s">
        <v>0</v>
      </c>
      <c r="B1" s="2"/>
      <c r="C1" s="2"/>
      <c r="D1" s="2"/>
      <c r="E1" s="2" t="s">
        <v>1</v>
      </c>
      <c r="F1" s="2"/>
      <c r="G1" s="2"/>
    </row>
    <row r="2" spans="1:7" x14ac:dyDescent="0.5">
      <c r="A2" t="s">
        <v>4</v>
      </c>
      <c r="B2" t="s">
        <v>5</v>
      </c>
      <c r="D2" s="1">
        <v>1510</v>
      </c>
      <c r="E2" t="s">
        <v>14</v>
      </c>
      <c r="F2" t="s">
        <v>15</v>
      </c>
      <c r="G2" s="1">
        <v>695</v>
      </c>
    </row>
    <row r="3" spans="1:7" x14ac:dyDescent="0.5">
      <c r="A3" t="s">
        <v>2</v>
      </c>
      <c r="B3" t="s">
        <v>3</v>
      </c>
      <c r="D3" s="1">
        <v>3518</v>
      </c>
    </row>
    <row r="4" spans="1:7" x14ac:dyDescent="0.5">
      <c r="A4" t="s">
        <v>6</v>
      </c>
      <c r="C4" t="s">
        <v>7</v>
      </c>
      <c r="D4" s="1">
        <v>26</v>
      </c>
    </row>
    <row r="5" spans="1:7" x14ac:dyDescent="0.5">
      <c r="A5" t="s">
        <v>8</v>
      </c>
      <c r="C5" t="s">
        <v>9</v>
      </c>
      <c r="D5" s="1">
        <v>684</v>
      </c>
    </row>
    <row r="6" spans="1:7" x14ac:dyDescent="0.5">
      <c r="A6" t="s">
        <v>10</v>
      </c>
      <c r="C6" t="s">
        <v>11</v>
      </c>
      <c r="D6" s="1">
        <v>1550</v>
      </c>
    </row>
    <row r="7" spans="1:7" x14ac:dyDescent="0.5">
      <c r="A7" t="s">
        <v>12</v>
      </c>
      <c r="C7" t="s">
        <v>13</v>
      </c>
      <c r="D7" s="1">
        <v>1258</v>
      </c>
    </row>
    <row r="8" spans="1:7" x14ac:dyDescent="0.5">
      <c r="A8" t="s">
        <v>28</v>
      </c>
      <c r="B8" t="s">
        <v>27</v>
      </c>
      <c r="D8" s="1">
        <v>241</v>
      </c>
      <c r="E8" t="s">
        <v>16</v>
      </c>
      <c r="F8" t="s">
        <v>17</v>
      </c>
      <c r="G8" s="1">
        <f>D2+D3-G2</f>
        <v>4333</v>
      </c>
    </row>
    <row r="9" spans="1:7" x14ac:dyDescent="0.5">
      <c r="A9" t="s">
        <v>30</v>
      </c>
      <c r="B9" t="s">
        <v>29</v>
      </c>
      <c r="D9" s="1">
        <v>278</v>
      </c>
      <c r="F9" t="s">
        <v>31</v>
      </c>
      <c r="G9">
        <v>519</v>
      </c>
    </row>
    <row r="11" spans="1:7" x14ac:dyDescent="0.5">
      <c r="D11" s="1"/>
    </row>
  </sheetData>
  <mergeCells count="2">
    <mergeCell ref="A1:D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4A1A-3B48-5B43-9A81-D117A076B52E}">
  <dimension ref="A1:F9"/>
  <sheetViews>
    <sheetView workbookViewId="0">
      <selection activeCell="E9" sqref="E9:F9"/>
    </sheetView>
  </sheetViews>
  <sheetFormatPr defaultColWidth="11" defaultRowHeight="15.75" x14ac:dyDescent="0.5"/>
  <cols>
    <col min="2" max="2" width="45.5" bestFit="1" customWidth="1"/>
  </cols>
  <sheetData>
    <row r="1" spans="1:6" x14ac:dyDescent="0.5">
      <c r="A1" s="2" t="s">
        <v>0</v>
      </c>
      <c r="B1" s="2"/>
      <c r="C1" s="2"/>
      <c r="D1" s="2" t="s">
        <v>1</v>
      </c>
      <c r="E1" s="2"/>
      <c r="F1" s="2"/>
    </row>
    <row r="2" spans="1:6" x14ac:dyDescent="0.5">
      <c r="A2" t="s">
        <v>4</v>
      </c>
      <c r="B2" t="s">
        <v>5</v>
      </c>
      <c r="C2" s="1">
        <v>1510</v>
      </c>
      <c r="D2" t="s">
        <v>14</v>
      </c>
      <c r="E2" t="s">
        <v>15</v>
      </c>
      <c r="F2" s="1">
        <v>695</v>
      </c>
    </row>
    <row r="3" spans="1:6" x14ac:dyDescent="0.5">
      <c r="A3" t="s">
        <v>2</v>
      </c>
      <c r="B3" t="s">
        <v>3</v>
      </c>
      <c r="C3" s="1">
        <v>3518</v>
      </c>
    </row>
    <row r="4" spans="1:6" x14ac:dyDescent="0.5">
      <c r="A4" t="s">
        <v>6</v>
      </c>
      <c r="B4" t="s">
        <v>7</v>
      </c>
      <c r="C4" s="1">
        <v>26</v>
      </c>
    </row>
    <row r="5" spans="1:6" x14ac:dyDescent="0.5">
      <c r="A5" t="s">
        <v>8</v>
      </c>
      <c r="B5" t="s">
        <v>9</v>
      </c>
      <c r="C5" s="1">
        <v>684</v>
      </c>
    </row>
    <row r="6" spans="1:6" x14ac:dyDescent="0.5">
      <c r="A6" t="s">
        <v>10</v>
      </c>
      <c r="B6" t="s">
        <v>11</v>
      </c>
      <c r="C6" s="1">
        <v>1550</v>
      </c>
    </row>
    <row r="7" spans="1:6" x14ac:dyDescent="0.5">
      <c r="A7" t="s">
        <v>12</v>
      </c>
      <c r="B7" t="s">
        <v>13</v>
      </c>
      <c r="C7" s="1">
        <v>1258</v>
      </c>
    </row>
    <row r="8" spans="1:6" x14ac:dyDescent="0.5">
      <c r="A8" t="s">
        <v>28</v>
      </c>
      <c r="B8" t="s">
        <v>27</v>
      </c>
      <c r="C8" s="1">
        <v>241</v>
      </c>
      <c r="D8" t="s">
        <v>16</v>
      </c>
      <c r="E8" t="s">
        <v>17</v>
      </c>
      <c r="F8" s="1">
        <f>C2+C3-F2</f>
        <v>4333</v>
      </c>
    </row>
    <row r="9" spans="1:6" x14ac:dyDescent="0.5">
      <c r="A9" t="s">
        <v>30</v>
      </c>
      <c r="B9" t="s">
        <v>29</v>
      </c>
      <c r="C9" s="1">
        <v>278</v>
      </c>
      <c r="E9" t="s">
        <v>26</v>
      </c>
      <c r="F9">
        <v>519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BABD-4E40-A84F-A62F-B2BA9DE6FC1C}">
  <dimension ref="A1:C15"/>
  <sheetViews>
    <sheetView workbookViewId="0">
      <selection activeCell="A9" sqref="A9:C10"/>
    </sheetView>
  </sheetViews>
  <sheetFormatPr defaultColWidth="11" defaultRowHeight="15.75" x14ac:dyDescent="0.5"/>
  <cols>
    <col min="1" max="1" width="45.5" bestFit="1" customWidth="1"/>
  </cols>
  <sheetData>
    <row r="1" spans="1:3" x14ac:dyDescent="0.5">
      <c r="A1" t="s">
        <v>22</v>
      </c>
      <c r="B1" t="s">
        <v>23</v>
      </c>
      <c r="C1" t="s">
        <v>24</v>
      </c>
    </row>
    <row r="2" spans="1:3" x14ac:dyDescent="0.5">
      <c r="A2" t="s">
        <v>20</v>
      </c>
    </row>
    <row r="3" spans="1:3" x14ac:dyDescent="0.5">
      <c r="A3" t="s">
        <v>5</v>
      </c>
      <c r="B3" t="s">
        <v>4</v>
      </c>
      <c r="C3" s="1">
        <v>1510</v>
      </c>
    </row>
    <row r="4" spans="1:3" x14ac:dyDescent="0.5">
      <c r="A4" t="s">
        <v>25</v>
      </c>
      <c r="B4" t="s">
        <v>2</v>
      </c>
      <c r="C4" s="1">
        <v>3518</v>
      </c>
    </row>
    <row r="5" spans="1:3" x14ac:dyDescent="0.5">
      <c r="A5" t="s">
        <v>7</v>
      </c>
      <c r="B5" t="s">
        <v>6</v>
      </c>
      <c r="C5" s="1">
        <v>26</v>
      </c>
    </row>
    <row r="6" spans="1:3" x14ac:dyDescent="0.5">
      <c r="A6" t="s">
        <v>9</v>
      </c>
      <c r="B6" t="s">
        <v>8</v>
      </c>
      <c r="C6" s="1">
        <v>684</v>
      </c>
    </row>
    <row r="7" spans="1:3" x14ac:dyDescent="0.5">
      <c r="A7" t="s">
        <v>11</v>
      </c>
      <c r="B7" t="s">
        <v>10</v>
      </c>
      <c r="C7" s="1">
        <v>1550</v>
      </c>
    </row>
    <row r="8" spans="1:3" x14ac:dyDescent="0.5">
      <c r="A8" t="s">
        <v>13</v>
      </c>
      <c r="B8" t="s">
        <v>12</v>
      </c>
      <c r="C8" s="1">
        <v>1258</v>
      </c>
    </row>
    <row r="9" spans="1:3" x14ac:dyDescent="0.5">
      <c r="A9" t="s">
        <v>27</v>
      </c>
      <c r="B9" t="s">
        <v>28</v>
      </c>
      <c r="C9" s="1">
        <v>241</v>
      </c>
    </row>
    <row r="10" spans="1:3" x14ac:dyDescent="0.5">
      <c r="A10" t="s">
        <v>29</v>
      </c>
      <c r="B10" t="s">
        <v>30</v>
      </c>
      <c r="C10" s="1">
        <v>278</v>
      </c>
    </row>
    <row r="11" spans="1:3" x14ac:dyDescent="0.5">
      <c r="C11" s="1"/>
    </row>
    <row r="12" spans="1:3" x14ac:dyDescent="0.5">
      <c r="A12" t="s">
        <v>21</v>
      </c>
    </row>
    <row r="13" spans="1:3" x14ac:dyDescent="0.5">
      <c r="A13" t="s">
        <v>15</v>
      </c>
      <c r="B13" t="s">
        <v>14</v>
      </c>
      <c r="C13" s="1">
        <v>695</v>
      </c>
    </row>
    <row r="14" spans="1:3" x14ac:dyDescent="0.5">
      <c r="A14" t="s">
        <v>17</v>
      </c>
      <c r="B14" t="s">
        <v>16</v>
      </c>
      <c r="C14" s="1">
        <f>C3+C4-C13</f>
        <v>4333</v>
      </c>
    </row>
    <row r="15" spans="1:3" x14ac:dyDescent="0.5">
      <c r="A15" t="s">
        <v>26</v>
      </c>
      <c r="C15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calculation</vt:lpstr>
      <vt:lpstr>table</vt:lpstr>
      <vt:lpstr>table_</vt:lpstr>
      <vt:lpstr>table_vertical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Rella</dc:creator>
  <cp:lastModifiedBy>Max Longmuir</cp:lastModifiedBy>
  <dcterms:created xsi:type="dcterms:W3CDTF">2023-10-20T10:15:43Z</dcterms:created>
  <dcterms:modified xsi:type="dcterms:W3CDTF">2024-08-12T01:52:21Z</dcterms:modified>
</cp:coreProperties>
</file>